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yhost-bizmate\NISMARA UMA PLAN MYHOST BIZMATE\"/>
    </mc:Choice>
  </mc:AlternateContent>
  <xr:revisionPtr revIDLastSave="0" documentId="8_{720C9D1A-5067-4DBB-9B70-3FB3D693E8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5" sheetId="1" r:id="rId1"/>
    <sheet name="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L22" i="1"/>
  <c r="L12" i="1"/>
  <c r="L3" i="1"/>
</calcChain>
</file>

<file path=xl/sharedStrings.xml><?xml version="1.0" encoding="utf-8"?>
<sst xmlns="http://schemas.openxmlformats.org/spreadsheetml/2006/main" count="233" uniqueCount="117">
  <si>
    <t>NO</t>
  </si>
  <si>
    <t>MONTH</t>
  </si>
  <si>
    <t>GUEST NAME</t>
  </si>
  <si>
    <t>STAY PERIOD</t>
  </si>
  <si>
    <t>PAX</t>
  </si>
  <si>
    <t>ROOM NIGHT</t>
  </si>
  <si>
    <t>PRICE</t>
  </si>
  <si>
    <t>BOOKING SOURCE</t>
  </si>
  <si>
    <t>PAYMENT STATUS</t>
  </si>
  <si>
    <t>SPECIAL REQUEST</t>
  </si>
  <si>
    <t>TOTAL REVENUE
ON HAND</t>
  </si>
  <si>
    <t>CHECK IN</t>
  </si>
  <si>
    <t>CHECK OUT</t>
  </si>
  <si>
    <t>September</t>
  </si>
  <si>
    <t xml:space="preserve">Alison Bell </t>
  </si>
  <si>
    <t>31 August</t>
  </si>
  <si>
    <t>Bali Buntu</t>
  </si>
  <si>
    <t>Done</t>
  </si>
  <si>
    <t>-</t>
  </si>
  <si>
    <t>M. Hadi Ghanchi</t>
  </si>
  <si>
    <t>Anirban Mukherjee</t>
  </si>
  <si>
    <t>Hector Stezano</t>
  </si>
  <si>
    <t>Rebecca</t>
  </si>
  <si>
    <t>Namith Reddy</t>
  </si>
  <si>
    <t>Anh Dao</t>
  </si>
  <si>
    <t>Vitaii</t>
  </si>
  <si>
    <t>Gita</t>
  </si>
  <si>
    <t>Justin Berndsen</t>
  </si>
  <si>
    <t>1 October</t>
  </si>
  <si>
    <t>October</t>
  </si>
  <si>
    <t>Mishal Alshahrani</t>
  </si>
  <si>
    <t xml:space="preserve">3 October </t>
  </si>
  <si>
    <t>7 October</t>
  </si>
  <si>
    <t>On Scheduled</t>
  </si>
  <si>
    <t>Khaldun Schahab</t>
  </si>
  <si>
    <t>12 October</t>
  </si>
  <si>
    <t>Charles</t>
  </si>
  <si>
    <t>13 October</t>
  </si>
  <si>
    <t>14 October</t>
  </si>
  <si>
    <t xml:space="preserve">On Scheduled </t>
  </si>
  <si>
    <t>Valentin</t>
  </si>
  <si>
    <t xml:space="preserve">14 October </t>
  </si>
  <si>
    <t>16 October</t>
  </si>
  <si>
    <t>17 October</t>
  </si>
  <si>
    <t>Alexander Jeremia</t>
  </si>
  <si>
    <t>18 October</t>
  </si>
  <si>
    <t>20 October</t>
  </si>
  <si>
    <t>Tan Janice</t>
  </si>
  <si>
    <t>23 October</t>
  </si>
  <si>
    <t>Darcy Sharpe</t>
  </si>
  <si>
    <t>24 October</t>
  </si>
  <si>
    <t>26 October</t>
  </si>
  <si>
    <t>Jose Rayas</t>
  </si>
  <si>
    <t xml:space="preserve">27 October </t>
  </si>
  <si>
    <t>29 October</t>
  </si>
  <si>
    <t xml:space="preserve">- </t>
  </si>
  <si>
    <t>Chinese Name</t>
  </si>
  <si>
    <t>30 October</t>
  </si>
  <si>
    <t>November</t>
  </si>
  <si>
    <t>Joshua Bumale</t>
  </si>
  <si>
    <t>Gautham Ramdas</t>
  </si>
  <si>
    <t>Roberto Baccaro</t>
  </si>
  <si>
    <t>Charlotte Peer</t>
  </si>
  <si>
    <t>Veronica</t>
  </si>
  <si>
    <t>4 December</t>
  </si>
  <si>
    <t>December</t>
  </si>
  <si>
    <t>Michelle Vocisano</t>
  </si>
  <si>
    <t>22 December</t>
  </si>
  <si>
    <t>29 December</t>
  </si>
  <si>
    <t>Chef Gerry</t>
  </si>
  <si>
    <t>30 December</t>
  </si>
  <si>
    <t>1 January</t>
  </si>
  <si>
    <t>Ibu Santi</t>
  </si>
  <si>
    <t>January</t>
  </si>
  <si>
    <t>Abhisek V Deshetty</t>
  </si>
  <si>
    <t>3 January</t>
  </si>
  <si>
    <t>5 January</t>
  </si>
  <si>
    <t>Air BnB</t>
  </si>
  <si>
    <t>Morganne Le Saulnier</t>
  </si>
  <si>
    <t>6 January</t>
  </si>
  <si>
    <t>9 January</t>
  </si>
  <si>
    <t>Booking.com</t>
  </si>
  <si>
    <t>Rahul Zar</t>
  </si>
  <si>
    <t>10 January</t>
  </si>
  <si>
    <t>11 January</t>
  </si>
  <si>
    <t xml:space="preserve">February </t>
  </si>
  <si>
    <t>19 February</t>
  </si>
  <si>
    <t>26 February</t>
  </si>
  <si>
    <t>March</t>
  </si>
  <si>
    <t>Nitin Kakkar</t>
  </si>
  <si>
    <t>17 March</t>
  </si>
  <si>
    <t>20 March</t>
  </si>
  <si>
    <t>Johana Catharina</t>
  </si>
  <si>
    <t>April</t>
  </si>
  <si>
    <t>Tien Li Cheng</t>
  </si>
  <si>
    <t>Nicolas Moreau</t>
  </si>
  <si>
    <t>Gabriel Thomas</t>
  </si>
  <si>
    <t>May</t>
  </si>
  <si>
    <t>Sara Palacious</t>
  </si>
  <si>
    <t>17 May</t>
  </si>
  <si>
    <t>26 May</t>
  </si>
  <si>
    <t>Instagram</t>
  </si>
  <si>
    <t>July</t>
  </si>
  <si>
    <t>P Yerramareddy</t>
  </si>
  <si>
    <t>10 July</t>
  </si>
  <si>
    <t>13 July</t>
  </si>
  <si>
    <t>Joppe Juindam</t>
  </si>
  <si>
    <t>19 July</t>
  </si>
  <si>
    <t>21 July</t>
  </si>
  <si>
    <t>Lusy Kershaw</t>
  </si>
  <si>
    <t>31 July</t>
  </si>
  <si>
    <t>2 August</t>
  </si>
  <si>
    <t>August</t>
  </si>
  <si>
    <t>Charlotte Morrow</t>
  </si>
  <si>
    <t>5 August</t>
  </si>
  <si>
    <t xml:space="preserve">September </t>
  </si>
  <si>
    <t>Ann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</si>
</sst>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3" fontId="1" fillId="3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/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3" fontId="1" fillId="3" borderId="1" xfId="0" applyNumberFormat="1" applyFont="1" applyFill="1" applyBorder="1" applyAlignment="1">
      <alignment horizontal="center" vertical="center"/>
    </xf>
    <xf numFmtId="0" fontId="2" fillId="0" borderId="6" xfId="0" applyFont="1" applyBorder="1"/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1"/>
  <sheetViews>
    <sheetView tabSelected="1" workbookViewId="0">
      <selection sqref="A1:A2"/>
    </sheetView>
  </sheetViews>
  <sheetFormatPr defaultColWidth="12.6328125" defaultRowHeight="15.75" customHeight="1" x14ac:dyDescent="0.25"/>
  <cols>
    <col min="1" max="1" width="5.26953125" customWidth="1"/>
    <col min="2" max="2" width="15.453125" customWidth="1"/>
    <col min="3" max="3" width="19.36328125" customWidth="1"/>
    <col min="4" max="4" width="14.36328125" customWidth="1"/>
    <col min="5" max="5" width="13.7265625" customWidth="1"/>
    <col min="6" max="6" width="7.26953125" customWidth="1"/>
    <col min="8" max="8" width="20.453125" customWidth="1"/>
    <col min="9" max="9" width="18.7265625" customWidth="1"/>
    <col min="10" max="10" width="17.90625" customWidth="1"/>
    <col min="11" max="11" width="18.453125" customWidth="1"/>
    <col min="12" max="12" width="18.08984375" customWidth="1"/>
    <col min="13" max="13" width="18.6328125" customWidth="1"/>
  </cols>
  <sheetData>
    <row r="1" spans="1:12" ht="25.5" customHeight="1" x14ac:dyDescent="0.25">
      <c r="A1" s="13" t="s">
        <v>0</v>
      </c>
      <c r="B1" s="13" t="s">
        <v>1</v>
      </c>
      <c r="C1" s="13" t="s">
        <v>2</v>
      </c>
      <c r="D1" s="20" t="s">
        <v>3</v>
      </c>
      <c r="E1" s="21"/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</row>
    <row r="2" spans="1:12" ht="24" customHeight="1" x14ac:dyDescent="0.25">
      <c r="A2" s="14"/>
      <c r="B2" s="14"/>
      <c r="C2" s="14"/>
      <c r="D2" s="1" t="s">
        <v>11</v>
      </c>
      <c r="E2" s="1" t="s">
        <v>12</v>
      </c>
      <c r="F2" s="14"/>
      <c r="G2" s="14"/>
      <c r="H2" s="14"/>
      <c r="I2" s="14"/>
      <c r="J2" s="14"/>
      <c r="K2" s="14"/>
      <c r="L2" s="14"/>
    </row>
    <row r="3" spans="1:12" ht="12.5" x14ac:dyDescent="0.25">
      <c r="A3" s="2">
        <v>1</v>
      </c>
      <c r="B3" s="18" t="s">
        <v>13</v>
      </c>
      <c r="C3" s="2" t="s">
        <v>14</v>
      </c>
      <c r="D3" s="2" t="s">
        <v>15</v>
      </c>
      <c r="E3" s="3">
        <v>45903</v>
      </c>
      <c r="F3" s="2">
        <v>2</v>
      </c>
      <c r="G3" s="2">
        <v>3</v>
      </c>
      <c r="H3" s="4">
        <v>2950533</v>
      </c>
      <c r="I3" s="2" t="s">
        <v>16</v>
      </c>
      <c r="J3" s="2" t="s">
        <v>17</v>
      </c>
      <c r="K3" s="2" t="s">
        <v>18</v>
      </c>
      <c r="L3" s="15">
        <f>SUM(H3:H11)</f>
        <v>27310218</v>
      </c>
    </row>
    <row r="4" spans="1:12" ht="12.5" x14ac:dyDescent="0.25">
      <c r="A4" s="2">
        <v>2</v>
      </c>
      <c r="B4" s="16"/>
      <c r="C4" s="2" t="s">
        <v>19</v>
      </c>
      <c r="D4" s="3">
        <v>45904</v>
      </c>
      <c r="E4" s="3">
        <v>45905</v>
      </c>
      <c r="F4" s="2">
        <v>3</v>
      </c>
      <c r="G4" s="2">
        <v>1</v>
      </c>
      <c r="H4" s="4">
        <v>1042088</v>
      </c>
      <c r="I4" s="2" t="s">
        <v>16</v>
      </c>
      <c r="J4" s="2" t="s">
        <v>17</v>
      </c>
      <c r="K4" s="2" t="s">
        <v>18</v>
      </c>
      <c r="L4" s="16"/>
    </row>
    <row r="5" spans="1:12" ht="12.5" x14ac:dyDescent="0.25">
      <c r="A5" s="2">
        <v>3</v>
      </c>
      <c r="B5" s="16"/>
      <c r="C5" s="2" t="s">
        <v>20</v>
      </c>
      <c r="D5" s="3">
        <v>45905</v>
      </c>
      <c r="E5" s="3">
        <v>45908</v>
      </c>
      <c r="F5" s="2">
        <v>3</v>
      </c>
      <c r="G5" s="2">
        <v>3</v>
      </c>
      <c r="H5" s="4">
        <v>3651086</v>
      </c>
      <c r="I5" s="2" t="s">
        <v>16</v>
      </c>
      <c r="J5" s="2" t="s">
        <v>17</v>
      </c>
      <c r="K5" s="2" t="s">
        <v>18</v>
      </c>
      <c r="L5" s="16"/>
    </row>
    <row r="6" spans="1:12" ht="12.5" x14ac:dyDescent="0.25">
      <c r="A6" s="2">
        <v>4</v>
      </c>
      <c r="B6" s="16"/>
      <c r="C6" s="2" t="s">
        <v>21</v>
      </c>
      <c r="D6" s="3">
        <v>45908</v>
      </c>
      <c r="E6" s="3">
        <v>45911</v>
      </c>
      <c r="F6" s="2">
        <v>2</v>
      </c>
      <c r="G6" s="2">
        <v>3</v>
      </c>
      <c r="H6" s="4">
        <v>3592940</v>
      </c>
      <c r="I6" s="2" t="s">
        <v>16</v>
      </c>
      <c r="J6" s="2" t="s">
        <v>17</v>
      </c>
      <c r="K6" s="2" t="s">
        <v>18</v>
      </c>
      <c r="L6" s="16"/>
    </row>
    <row r="7" spans="1:12" ht="12.5" x14ac:dyDescent="0.25">
      <c r="A7" s="2">
        <v>5</v>
      </c>
      <c r="B7" s="16"/>
      <c r="C7" s="2" t="s">
        <v>22</v>
      </c>
      <c r="D7" s="3">
        <v>45912</v>
      </c>
      <c r="E7" s="3">
        <v>45916</v>
      </c>
      <c r="F7" s="2">
        <v>2</v>
      </c>
      <c r="G7" s="2">
        <v>4</v>
      </c>
      <c r="H7" s="4">
        <v>4349003</v>
      </c>
      <c r="I7" s="2" t="s">
        <v>16</v>
      </c>
      <c r="J7" s="2" t="s">
        <v>17</v>
      </c>
      <c r="K7" s="2" t="s">
        <v>18</v>
      </c>
      <c r="L7" s="16"/>
    </row>
    <row r="8" spans="1:12" ht="12.5" x14ac:dyDescent="0.25">
      <c r="A8" s="2">
        <v>6</v>
      </c>
      <c r="B8" s="16"/>
      <c r="C8" s="2" t="s">
        <v>23</v>
      </c>
      <c r="D8" s="3">
        <v>45920</v>
      </c>
      <c r="E8" s="3">
        <v>45921</v>
      </c>
      <c r="F8" s="2">
        <v>2</v>
      </c>
      <c r="G8" s="2">
        <v>1</v>
      </c>
      <c r="H8" s="4">
        <v>885346</v>
      </c>
      <c r="I8" s="2" t="s">
        <v>16</v>
      </c>
      <c r="J8" s="2" t="s">
        <v>17</v>
      </c>
      <c r="K8" s="2" t="s">
        <v>18</v>
      </c>
      <c r="L8" s="16"/>
    </row>
    <row r="9" spans="1:12" ht="12.5" x14ac:dyDescent="0.25">
      <c r="A9" s="2">
        <v>7</v>
      </c>
      <c r="B9" s="16"/>
      <c r="C9" s="2" t="s">
        <v>24</v>
      </c>
      <c r="D9" s="3">
        <v>45921</v>
      </c>
      <c r="E9" s="3">
        <v>45924</v>
      </c>
      <c r="F9" s="2">
        <v>4</v>
      </c>
      <c r="G9" s="2">
        <v>3</v>
      </c>
      <c r="H9" s="4">
        <v>3352266</v>
      </c>
      <c r="I9" s="2" t="s">
        <v>16</v>
      </c>
      <c r="J9" s="2" t="s">
        <v>17</v>
      </c>
      <c r="K9" s="2" t="s">
        <v>18</v>
      </c>
      <c r="L9" s="16"/>
    </row>
    <row r="10" spans="1:12" ht="12.5" x14ac:dyDescent="0.25">
      <c r="A10" s="2">
        <v>8</v>
      </c>
      <c r="B10" s="16"/>
      <c r="C10" s="2" t="s">
        <v>25</v>
      </c>
      <c r="D10" s="3">
        <v>45924</v>
      </c>
      <c r="E10" s="3">
        <v>45926</v>
      </c>
      <c r="F10" s="2">
        <v>3</v>
      </c>
      <c r="G10" s="2">
        <v>2</v>
      </c>
      <c r="H10" s="4">
        <v>1900000</v>
      </c>
      <c r="I10" s="2" t="s">
        <v>26</v>
      </c>
      <c r="J10" s="2" t="s">
        <v>17</v>
      </c>
      <c r="K10" s="2" t="s">
        <v>18</v>
      </c>
      <c r="L10" s="16"/>
    </row>
    <row r="11" spans="1:12" ht="12.5" x14ac:dyDescent="0.25">
      <c r="A11" s="2">
        <v>9</v>
      </c>
      <c r="B11" s="14"/>
      <c r="C11" s="2" t="s">
        <v>27</v>
      </c>
      <c r="D11" s="3">
        <v>45926</v>
      </c>
      <c r="E11" s="2" t="s">
        <v>28</v>
      </c>
      <c r="F11" s="2">
        <v>2</v>
      </c>
      <c r="G11" s="2">
        <v>5</v>
      </c>
      <c r="H11" s="4">
        <v>5586956</v>
      </c>
      <c r="I11" s="2" t="s">
        <v>16</v>
      </c>
      <c r="J11" s="2" t="s">
        <v>17</v>
      </c>
      <c r="K11" s="2" t="s">
        <v>18</v>
      </c>
      <c r="L11" s="16"/>
    </row>
    <row r="12" spans="1:12" ht="12.5" x14ac:dyDescent="0.25">
      <c r="A12" s="2">
        <v>10</v>
      </c>
      <c r="B12" s="18" t="s">
        <v>29</v>
      </c>
      <c r="C12" s="2" t="s">
        <v>30</v>
      </c>
      <c r="D12" s="2" t="s">
        <v>31</v>
      </c>
      <c r="E12" s="2" t="s">
        <v>32</v>
      </c>
      <c r="F12" s="2">
        <v>4</v>
      </c>
      <c r="G12" s="2">
        <v>3</v>
      </c>
      <c r="H12" s="4">
        <v>3212542</v>
      </c>
      <c r="I12" s="2" t="s">
        <v>16</v>
      </c>
      <c r="J12" s="2" t="s">
        <v>33</v>
      </c>
      <c r="K12" s="2" t="s">
        <v>18</v>
      </c>
      <c r="L12" s="15">
        <f>SUM(H12:H21)</f>
        <v>23999637</v>
      </c>
    </row>
    <row r="13" spans="1:12" ht="12.5" x14ac:dyDescent="0.25">
      <c r="A13" s="2">
        <v>11</v>
      </c>
      <c r="B13" s="16"/>
      <c r="C13" s="2" t="s">
        <v>34</v>
      </c>
      <c r="D13" s="2" t="s">
        <v>32</v>
      </c>
      <c r="E13" s="2" t="s">
        <v>35</v>
      </c>
      <c r="F13" s="2">
        <v>2</v>
      </c>
      <c r="G13" s="2">
        <v>5</v>
      </c>
      <c r="H13" s="4">
        <v>3901500</v>
      </c>
      <c r="I13" s="2" t="s">
        <v>16</v>
      </c>
      <c r="J13" s="2" t="s">
        <v>33</v>
      </c>
      <c r="K13" s="2" t="s">
        <v>18</v>
      </c>
      <c r="L13" s="16"/>
    </row>
    <row r="14" spans="1:12" ht="12.5" x14ac:dyDescent="0.25">
      <c r="A14" s="2">
        <v>12</v>
      </c>
      <c r="B14" s="16"/>
      <c r="C14" s="2" t="s">
        <v>36</v>
      </c>
      <c r="D14" s="2" t="s">
        <v>37</v>
      </c>
      <c r="E14" s="2" t="s">
        <v>38</v>
      </c>
      <c r="F14" s="2">
        <v>3</v>
      </c>
      <c r="G14" s="2">
        <v>1</v>
      </c>
      <c r="H14" s="4">
        <v>1003656</v>
      </c>
      <c r="I14" s="2" t="s">
        <v>16</v>
      </c>
      <c r="J14" s="2" t="s">
        <v>39</v>
      </c>
      <c r="K14" s="2" t="s">
        <v>18</v>
      </c>
      <c r="L14" s="16"/>
    </row>
    <row r="15" spans="1:12" ht="12.5" x14ac:dyDescent="0.25">
      <c r="A15" s="2">
        <v>13</v>
      </c>
      <c r="B15" s="16"/>
      <c r="C15" s="2" t="s">
        <v>40</v>
      </c>
      <c r="D15" s="2" t="s">
        <v>41</v>
      </c>
      <c r="E15" s="2" t="s">
        <v>42</v>
      </c>
      <c r="F15" s="2">
        <v>2</v>
      </c>
      <c r="G15" s="2">
        <v>2</v>
      </c>
      <c r="H15" s="4">
        <v>2000398</v>
      </c>
      <c r="I15" s="2" t="s">
        <v>16</v>
      </c>
      <c r="J15" s="2" t="s">
        <v>39</v>
      </c>
      <c r="K15" s="2" t="s">
        <v>18</v>
      </c>
      <c r="L15" s="16"/>
    </row>
    <row r="16" spans="1:12" ht="12.5" x14ac:dyDescent="0.25">
      <c r="A16" s="2">
        <v>14</v>
      </c>
      <c r="B16" s="16"/>
      <c r="C16" s="2" t="s">
        <v>40</v>
      </c>
      <c r="D16" s="2" t="s">
        <v>42</v>
      </c>
      <c r="E16" s="2" t="s">
        <v>43</v>
      </c>
      <c r="F16" s="2">
        <v>2</v>
      </c>
      <c r="G16" s="2">
        <v>1</v>
      </c>
      <c r="H16" s="4">
        <v>996395</v>
      </c>
      <c r="I16" s="2" t="s">
        <v>16</v>
      </c>
      <c r="J16" s="2" t="s">
        <v>33</v>
      </c>
      <c r="K16" s="2" t="s">
        <v>18</v>
      </c>
      <c r="L16" s="16"/>
    </row>
    <row r="17" spans="1:12" ht="12.5" x14ac:dyDescent="0.25">
      <c r="A17" s="2">
        <v>15</v>
      </c>
      <c r="B17" s="16"/>
      <c r="C17" s="2" t="s">
        <v>44</v>
      </c>
      <c r="D17" s="2" t="s">
        <v>45</v>
      </c>
      <c r="E17" s="2" t="s">
        <v>46</v>
      </c>
      <c r="F17" s="2">
        <v>4</v>
      </c>
      <c r="G17" s="2">
        <v>2</v>
      </c>
      <c r="H17" s="4">
        <v>2234840</v>
      </c>
      <c r="I17" s="2" t="s">
        <v>16</v>
      </c>
      <c r="J17" s="2" t="s">
        <v>33</v>
      </c>
      <c r="K17" s="2" t="s">
        <v>18</v>
      </c>
      <c r="L17" s="16"/>
    </row>
    <row r="18" spans="1:12" ht="12.5" x14ac:dyDescent="0.25">
      <c r="A18" s="2">
        <v>16</v>
      </c>
      <c r="B18" s="16"/>
      <c r="C18" s="2" t="s">
        <v>47</v>
      </c>
      <c r="D18" s="2" t="s">
        <v>46</v>
      </c>
      <c r="E18" s="2" t="s">
        <v>48</v>
      </c>
      <c r="F18" s="2">
        <v>3</v>
      </c>
      <c r="G18" s="2">
        <v>3</v>
      </c>
      <c r="H18" s="4">
        <v>2678265</v>
      </c>
      <c r="I18" s="2" t="s">
        <v>16</v>
      </c>
      <c r="J18" s="2" t="s">
        <v>33</v>
      </c>
      <c r="K18" s="2" t="s">
        <v>18</v>
      </c>
      <c r="L18" s="16"/>
    </row>
    <row r="19" spans="1:12" ht="12.5" x14ac:dyDescent="0.25">
      <c r="A19" s="2">
        <v>17</v>
      </c>
      <c r="B19" s="16"/>
      <c r="C19" s="2" t="s">
        <v>49</v>
      </c>
      <c r="D19" s="2" t="s">
        <v>50</v>
      </c>
      <c r="E19" s="2" t="s">
        <v>51</v>
      </c>
      <c r="F19" s="2">
        <v>3</v>
      </c>
      <c r="G19" s="2">
        <v>2</v>
      </c>
      <c r="H19" s="4">
        <v>2307338</v>
      </c>
      <c r="I19" s="2" t="s">
        <v>16</v>
      </c>
      <c r="J19" s="2" t="s">
        <v>33</v>
      </c>
      <c r="K19" s="2" t="s">
        <v>18</v>
      </c>
      <c r="L19" s="16"/>
    </row>
    <row r="20" spans="1:12" ht="12.5" x14ac:dyDescent="0.25">
      <c r="A20" s="2">
        <v>18</v>
      </c>
      <c r="B20" s="16"/>
      <c r="C20" s="2" t="s">
        <v>52</v>
      </c>
      <c r="D20" s="2" t="s">
        <v>53</v>
      </c>
      <c r="E20" s="2" t="s">
        <v>54</v>
      </c>
      <c r="F20" s="2">
        <v>2</v>
      </c>
      <c r="G20" s="2">
        <v>2</v>
      </c>
      <c r="H20" s="4">
        <v>2203733</v>
      </c>
      <c r="I20" s="2" t="s">
        <v>16</v>
      </c>
      <c r="J20" s="2" t="s">
        <v>39</v>
      </c>
      <c r="K20" s="2" t="s">
        <v>55</v>
      </c>
      <c r="L20" s="16"/>
    </row>
    <row r="21" spans="1:12" ht="12.5" x14ac:dyDescent="0.25">
      <c r="A21" s="2">
        <v>19</v>
      </c>
      <c r="B21" s="14"/>
      <c r="C21" s="2" t="s">
        <v>56</v>
      </c>
      <c r="D21" s="2" t="s">
        <v>57</v>
      </c>
      <c r="E21" s="3">
        <v>45963</v>
      </c>
      <c r="F21" s="2">
        <v>4</v>
      </c>
      <c r="G21" s="2">
        <v>3</v>
      </c>
      <c r="H21" s="4">
        <v>3460970</v>
      </c>
      <c r="I21" s="2" t="s">
        <v>16</v>
      </c>
      <c r="J21" s="2" t="s">
        <v>33</v>
      </c>
      <c r="K21" s="2" t="s">
        <v>18</v>
      </c>
      <c r="L21" s="14"/>
    </row>
    <row r="22" spans="1:12" ht="12.5" x14ac:dyDescent="0.25">
      <c r="A22" s="5">
        <v>20</v>
      </c>
      <c r="B22" s="19" t="s">
        <v>58</v>
      </c>
      <c r="C22" s="6" t="s">
        <v>59</v>
      </c>
      <c r="D22" s="7">
        <v>45965</v>
      </c>
      <c r="E22" s="7">
        <v>45967</v>
      </c>
      <c r="F22" s="6">
        <v>1</v>
      </c>
      <c r="G22" s="6">
        <v>2</v>
      </c>
      <c r="H22" s="8">
        <v>2219670</v>
      </c>
      <c r="I22" s="6" t="s">
        <v>16</v>
      </c>
      <c r="J22" s="6" t="s">
        <v>33</v>
      </c>
      <c r="K22" s="6" t="s">
        <v>18</v>
      </c>
      <c r="L22" s="17">
        <f>SUM(H22:H26)</f>
        <v>23151031</v>
      </c>
    </row>
    <row r="23" spans="1:12" ht="12.5" x14ac:dyDescent="0.25">
      <c r="A23" s="5">
        <v>21</v>
      </c>
      <c r="B23" s="16"/>
      <c r="C23" s="6" t="s">
        <v>60</v>
      </c>
      <c r="D23" s="7">
        <v>45976</v>
      </c>
      <c r="E23" s="7">
        <v>45979</v>
      </c>
      <c r="F23" s="6">
        <v>2</v>
      </c>
      <c r="G23" s="6">
        <v>3</v>
      </c>
      <c r="H23" s="8">
        <v>4566015</v>
      </c>
      <c r="I23" s="6" t="s">
        <v>16</v>
      </c>
      <c r="J23" s="6" t="s">
        <v>39</v>
      </c>
      <c r="K23" s="6" t="s">
        <v>18</v>
      </c>
      <c r="L23" s="16"/>
    </row>
    <row r="24" spans="1:12" ht="12.5" x14ac:dyDescent="0.25">
      <c r="A24" s="5">
        <v>22</v>
      </c>
      <c r="B24" s="16"/>
      <c r="C24" s="6" t="s">
        <v>61</v>
      </c>
      <c r="D24" s="7">
        <v>45979</v>
      </c>
      <c r="E24" s="7">
        <v>45981</v>
      </c>
      <c r="F24" s="6">
        <v>2</v>
      </c>
      <c r="G24" s="6">
        <v>2</v>
      </c>
      <c r="H24" s="8">
        <v>2043566</v>
      </c>
      <c r="I24" s="6" t="s">
        <v>16</v>
      </c>
      <c r="J24" s="6" t="s">
        <v>33</v>
      </c>
      <c r="K24" s="6" t="s">
        <v>18</v>
      </c>
      <c r="L24" s="16"/>
    </row>
    <row r="25" spans="1:12" ht="12.5" x14ac:dyDescent="0.25">
      <c r="A25" s="5">
        <v>23</v>
      </c>
      <c r="B25" s="16"/>
      <c r="C25" s="6" t="s">
        <v>62</v>
      </c>
      <c r="D25" s="7">
        <v>45981</v>
      </c>
      <c r="E25" s="7">
        <v>45982</v>
      </c>
      <c r="F25" s="6">
        <v>2</v>
      </c>
      <c r="G25" s="6">
        <v>1</v>
      </c>
      <c r="H25" s="8">
        <v>1021780</v>
      </c>
      <c r="I25" s="6" t="s">
        <v>16</v>
      </c>
      <c r="J25" s="6" t="s">
        <v>33</v>
      </c>
      <c r="K25" s="6" t="s">
        <v>18</v>
      </c>
      <c r="L25" s="16"/>
    </row>
    <row r="26" spans="1:12" ht="12.5" x14ac:dyDescent="0.25">
      <c r="A26" s="5">
        <v>24</v>
      </c>
      <c r="B26" s="14"/>
      <c r="C26" s="6" t="s">
        <v>63</v>
      </c>
      <c r="D26" s="7">
        <v>45982</v>
      </c>
      <c r="E26" s="6" t="s">
        <v>64</v>
      </c>
      <c r="F26" s="6">
        <v>4</v>
      </c>
      <c r="G26" s="6">
        <v>13</v>
      </c>
      <c r="H26" s="8">
        <v>13300000</v>
      </c>
      <c r="I26" s="6" t="s">
        <v>26</v>
      </c>
      <c r="J26" s="6" t="s">
        <v>33</v>
      </c>
      <c r="K26" s="6" t="s">
        <v>18</v>
      </c>
      <c r="L26" s="14"/>
    </row>
    <row r="27" spans="1:12" ht="12.5" x14ac:dyDescent="0.25">
      <c r="A27" s="5">
        <v>25</v>
      </c>
      <c r="B27" s="19" t="s">
        <v>65</v>
      </c>
      <c r="C27" s="6" t="s">
        <v>66</v>
      </c>
      <c r="D27" s="6" t="s">
        <v>67</v>
      </c>
      <c r="E27" s="6" t="s">
        <v>68</v>
      </c>
      <c r="F27" s="6">
        <v>4</v>
      </c>
      <c r="G27" s="6">
        <v>7</v>
      </c>
      <c r="H27" s="8">
        <v>7667293</v>
      </c>
      <c r="I27" s="6" t="s">
        <v>16</v>
      </c>
      <c r="J27" s="6" t="s">
        <v>33</v>
      </c>
      <c r="K27" s="6" t="s">
        <v>18</v>
      </c>
      <c r="L27" s="8">
        <f>SUM(H27)</f>
        <v>7667293</v>
      </c>
    </row>
    <row r="28" spans="1:12" ht="12.5" x14ac:dyDescent="0.25">
      <c r="A28" s="5">
        <v>26</v>
      </c>
      <c r="B28" s="14"/>
      <c r="C28" s="6" t="s">
        <v>69</v>
      </c>
      <c r="D28" s="6" t="s">
        <v>70</v>
      </c>
      <c r="E28" s="6" t="s">
        <v>71</v>
      </c>
      <c r="F28" s="6">
        <v>1</v>
      </c>
      <c r="G28" s="6">
        <v>2</v>
      </c>
      <c r="H28" s="8"/>
      <c r="I28" s="6" t="s">
        <v>72</v>
      </c>
      <c r="J28" s="6" t="s">
        <v>39</v>
      </c>
      <c r="K28" s="6" t="s">
        <v>18</v>
      </c>
      <c r="L28" s="6"/>
    </row>
    <row r="29" spans="1:12" ht="12.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2" ht="12.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2" ht="12.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2" ht="12.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3" ht="12.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3" ht="12.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M34" s="10"/>
    </row>
    <row r="35" spans="1:13" ht="12.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3" ht="12.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3" ht="12.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3" ht="12.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3" ht="12.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3" ht="12.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3" ht="12.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</sheetData>
  <mergeCells count="18">
    <mergeCell ref="F1:F2"/>
    <mergeCell ref="G1:G2"/>
    <mergeCell ref="H1:H2"/>
    <mergeCell ref="B27:B28"/>
    <mergeCell ref="A1:A2"/>
    <mergeCell ref="B1:B2"/>
    <mergeCell ref="C1:C2"/>
    <mergeCell ref="D1:E1"/>
    <mergeCell ref="L12:L21"/>
    <mergeCell ref="L22:L26"/>
    <mergeCell ref="B3:B11"/>
    <mergeCell ref="B12:B21"/>
    <mergeCell ref="B22:B26"/>
    <mergeCell ref="I1:I2"/>
    <mergeCell ref="J1:J2"/>
    <mergeCell ref="K1:K2"/>
    <mergeCell ref="L1:L2"/>
    <mergeCell ref="L3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1"/>
  <sheetViews>
    <sheetView workbookViewId="0"/>
  </sheetViews>
  <sheetFormatPr defaultColWidth="12.6328125" defaultRowHeight="15.75" customHeight="1" x14ac:dyDescent="0.25"/>
  <cols>
    <col min="1" max="1" width="5.26953125" customWidth="1"/>
    <col min="2" max="2" width="15.453125" customWidth="1"/>
    <col min="3" max="3" width="19.36328125" customWidth="1"/>
    <col min="4" max="4" width="14.36328125" customWidth="1"/>
    <col min="5" max="5" width="13.7265625" customWidth="1"/>
    <col min="6" max="6" width="7.26953125" customWidth="1"/>
    <col min="8" max="8" width="20.453125" customWidth="1"/>
    <col min="9" max="9" width="17.90625" customWidth="1"/>
    <col min="10" max="10" width="18.453125" customWidth="1"/>
  </cols>
  <sheetData>
    <row r="1" spans="1:10" ht="25.5" customHeight="1" x14ac:dyDescent="0.25">
      <c r="A1" s="13" t="s">
        <v>0</v>
      </c>
      <c r="B1" s="13" t="s">
        <v>1</v>
      </c>
      <c r="C1" s="13" t="s">
        <v>2</v>
      </c>
      <c r="D1" s="20" t="s">
        <v>3</v>
      </c>
      <c r="E1" s="21"/>
      <c r="F1" s="13" t="s">
        <v>4</v>
      </c>
      <c r="G1" s="13" t="s">
        <v>5</v>
      </c>
      <c r="H1" s="13" t="s">
        <v>6</v>
      </c>
      <c r="I1" s="13" t="s">
        <v>8</v>
      </c>
      <c r="J1" s="13" t="s">
        <v>7</v>
      </c>
    </row>
    <row r="2" spans="1:10" ht="24" customHeight="1" x14ac:dyDescent="0.25">
      <c r="A2" s="14"/>
      <c r="B2" s="14"/>
      <c r="C2" s="14"/>
      <c r="D2" s="1" t="s">
        <v>11</v>
      </c>
      <c r="E2" s="1" t="s">
        <v>12</v>
      </c>
      <c r="F2" s="14"/>
      <c r="G2" s="14"/>
      <c r="H2" s="14"/>
      <c r="I2" s="14"/>
      <c r="J2" s="14"/>
    </row>
    <row r="3" spans="1:10" ht="12.5" x14ac:dyDescent="0.25">
      <c r="A3" s="6">
        <v>1</v>
      </c>
      <c r="B3" s="19" t="s">
        <v>73</v>
      </c>
      <c r="C3" s="6" t="s">
        <v>74</v>
      </c>
      <c r="D3" s="6" t="s">
        <v>75</v>
      </c>
      <c r="E3" s="6" t="s">
        <v>76</v>
      </c>
      <c r="F3" s="6">
        <v>2</v>
      </c>
      <c r="G3" s="6">
        <v>2</v>
      </c>
      <c r="H3" s="8">
        <v>2270636</v>
      </c>
      <c r="I3" s="6" t="s">
        <v>33</v>
      </c>
      <c r="J3" s="6" t="s">
        <v>77</v>
      </c>
    </row>
    <row r="4" spans="1:10" ht="12.5" x14ac:dyDescent="0.25">
      <c r="A4" s="6">
        <v>2</v>
      </c>
      <c r="B4" s="16"/>
      <c r="C4" s="6" t="s">
        <v>78</v>
      </c>
      <c r="D4" s="6" t="s">
        <v>79</v>
      </c>
      <c r="E4" s="6" t="s">
        <v>80</v>
      </c>
      <c r="F4" s="6">
        <v>4</v>
      </c>
      <c r="G4" s="6">
        <v>3</v>
      </c>
      <c r="H4" s="8">
        <v>3611845</v>
      </c>
      <c r="I4" s="6" t="s">
        <v>33</v>
      </c>
      <c r="J4" s="11" t="s">
        <v>81</v>
      </c>
    </row>
    <row r="5" spans="1:10" ht="12.5" x14ac:dyDescent="0.25">
      <c r="A5" s="6">
        <v>3</v>
      </c>
      <c r="B5" s="14"/>
      <c r="C5" s="6" t="s">
        <v>82</v>
      </c>
      <c r="D5" s="6" t="s">
        <v>83</v>
      </c>
      <c r="E5" s="6" t="s">
        <v>84</v>
      </c>
      <c r="F5" s="6">
        <v>4</v>
      </c>
      <c r="G5" s="6">
        <v>1</v>
      </c>
      <c r="H5" s="8">
        <v>1135319</v>
      </c>
      <c r="I5" s="6" t="s">
        <v>33</v>
      </c>
      <c r="J5" s="6" t="s">
        <v>77</v>
      </c>
    </row>
    <row r="6" spans="1:10" ht="12.5" x14ac:dyDescent="0.25">
      <c r="A6" s="6">
        <v>4</v>
      </c>
      <c r="B6" s="6" t="s">
        <v>85</v>
      </c>
      <c r="C6" s="6" t="s">
        <v>56</v>
      </c>
      <c r="D6" s="6" t="s">
        <v>86</v>
      </c>
      <c r="E6" s="6" t="s">
        <v>87</v>
      </c>
      <c r="F6" s="6">
        <v>4</v>
      </c>
      <c r="G6" s="6">
        <v>7</v>
      </c>
      <c r="H6" s="8">
        <v>7549832</v>
      </c>
      <c r="I6" s="6" t="s">
        <v>39</v>
      </c>
      <c r="J6" s="6" t="s">
        <v>77</v>
      </c>
    </row>
    <row r="7" spans="1:10" ht="12.5" x14ac:dyDescent="0.25">
      <c r="A7" s="6">
        <v>5</v>
      </c>
      <c r="B7" s="19" t="s">
        <v>88</v>
      </c>
      <c r="C7" s="6" t="s">
        <v>89</v>
      </c>
      <c r="D7" s="6" t="s">
        <v>90</v>
      </c>
      <c r="E7" s="6" t="s">
        <v>91</v>
      </c>
      <c r="F7" s="6">
        <v>4</v>
      </c>
      <c r="G7" s="6">
        <v>3</v>
      </c>
      <c r="H7" s="8">
        <v>3444389</v>
      </c>
      <c r="I7" s="6" t="s">
        <v>39</v>
      </c>
      <c r="J7" s="6" t="s">
        <v>77</v>
      </c>
    </row>
    <row r="8" spans="1:10" ht="12.5" x14ac:dyDescent="0.25">
      <c r="A8" s="6">
        <v>6</v>
      </c>
      <c r="B8" s="14"/>
      <c r="C8" s="6" t="s">
        <v>92</v>
      </c>
      <c r="D8" s="6" t="s">
        <v>91</v>
      </c>
      <c r="E8" s="7">
        <v>45750</v>
      </c>
      <c r="F8" s="6">
        <v>2</v>
      </c>
      <c r="G8" s="6">
        <v>14</v>
      </c>
      <c r="H8" s="8">
        <v>15099653</v>
      </c>
      <c r="I8" s="6" t="s">
        <v>33</v>
      </c>
      <c r="J8" s="11" t="s">
        <v>81</v>
      </c>
    </row>
    <row r="9" spans="1:10" ht="12.5" x14ac:dyDescent="0.25">
      <c r="A9" s="6">
        <v>7</v>
      </c>
      <c r="B9" s="19" t="s">
        <v>93</v>
      </c>
      <c r="C9" s="6" t="s">
        <v>94</v>
      </c>
      <c r="D9" s="7">
        <v>46115</v>
      </c>
      <c r="E9" s="7">
        <v>46119</v>
      </c>
      <c r="F9" s="6">
        <v>2</v>
      </c>
      <c r="G9" s="6">
        <v>4</v>
      </c>
      <c r="H9" s="6" t="s">
        <v>18</v>
      </c>
      <c r="I9" s="6" t="s">
        <v>33</v>
      </c>
      <c r="J9" s="6" t="s">
        <v>77</v>
      </c>
    </row>
    <row r="10" spans="1:10" ht="12.5" x14ac:dyDescent="0.25">
      <c r="A10" s="6">
        <v>8</v>
      </c>
      <c r="B10" s="16"/>
      <c r="C10" s="6" t="s">
        <v>95</v>
      </c>
      <c r="D10" s="7">
        <v>45755</v>
      </c>
      <c r="E10" s="7">
        <v>45758</v>
      </c>
      <c r="F10" s="6">
        <v>3</v>
      </c>
      <c r="G10" s="6">
        <v>3</v>
      </c>
      <c r="H10" s="8">
        <v>4441300</v>
      </c>
      <c r="I10" s="6" t="s">
        <v>39</v>
      </c>
      <c r="J10" s="6" t="s">
        <v>77</v>
      </c>
    </row>
    <row r="11" spans="1:10" ht="12.5" x14ac:dyDescent="0.25">
      <c r="A11" s="6">
        <v>9</v>
      </c>
      <c r="B11" s="14"/>
      <c r="C11" s="6" t="s">
        <v>96</v>
      </c>
      <c r="D11" s="7">
        <v>46137</v>
      </c>
      <c r="E11" s="7">
        <v>46141</v>
      </c>
      <c r="F11" s="6">
        <v>2</v>
      </c>
      <c r="G11" s="6">
        <v>4</v>
      </c>
      <c r="H11" s="8">
        <v>3866825</v>
      </c>
      <c r="I11" s="6" t="s">
        <v>39</v>
      </c>
      <c r="J11" s="6" t="s">
        <v>77</v>
      </c>
    </row>
    <row r="12" spans="1:10" ht="12.5" x14ac:dyDescent="0.25">
      <c r="A12" s="6">
        <v>10</v>
      </c>
      <c r="B12" s="6" t="s">
        <v>97</v>
      </c>
      <c r="C12" s="12" t="s">
        <v>98</v>
      </c>
      <c r="D12" s="6" t="s">
        <v>99</v>
      </c>
      <c r="E12" s="6" t="s">
        <v>100</v>
      </c>
      <c r="F12" s="6">
        <v>2</v>
      </c>
      <c r="G12" s="6">
        <v>10</v>
      </c>
      <c r="H12" s="6"/>
      <c r="I12" s="6" t="s">
        <v>39</v>
      </c>
      <c r="J12" s="6" t="s">
        <v>101</v>
      </c>
    </row>
    <row r="13" spans="1:10" ht="12.5" x14ac:dyDescent="0.25">
      <c r="A13" s="6">
        <v>11</v>
      </c>
      <c r="B13" s="19" t="s">
        <v>102</v>
      </c>
      <c r="C13" s="6" t="s">
        <v>103</v>
      </c>
      <c r="D13" s="6" t="s">
        <v>104</v>
      </c>
      <c r="E13" s="6" t="s">
        <v>105</v>
      </c>
      <c r="F13" s="6">
        <v>4</v>
      </c>
      <c r="G13" s="6">
        <v>3</v>
      </c>
      <c r="H13" s="8">
        <v>2971016</v>
      </c>
      <c r="I13" s="6" t="s">
        <v>39</v>
      </c>
      <c r="J13" s="6" t="s">
        <v>77</v>
      </c>
    </row>
    <row r="14" spans="1:10" ht="12.5" x14ac:dyDescent="0.25">
      <c r="A14" s="6">
        <v>12</v>
      </c>
      <c r="B14" s="16"/>
      <c r="C14" s="6" t="s">
        <v>106</v>
      </c>
      <c r="D14" s="6" t="s">
        <v>107</v>
      </c>
      <c r="E14" s="6" t="s">
        <v>108</v>
      </c>
      <c r="F14" s="6">
        <v>4</v>
      </c>
      <c r="G14" s="6">
        <v>2</v>
      </c>
      <c r="H14" s="8">
        <v>2296572</v>
      </c>
      <c r="I14" s="6" t="s">
        <v>39</v>
      </c>
      <c r="J14" s="6" t="s">
        <v>77</v>
      </c>
    </row>
    <row r="15" spans="1:10" ht="12.5" x14ac:dyDescent="0.25">
      <c r="A15" s="6">
        <v>13</v>
      </c>
      <c r="B15" s="14"/>
      <c r="C15" s="6" t="s">
        <v>109</v>
      </c>
      <c r="D15" s="6" t="s">
        <v>110</v>
      </c>
      <c r="E15" s="6" t="s">
        <v>111</v>
      </c>
      <c r="F15" s="6">
        <v>2</v>
      </c>
      <c r="G15" s="6">
        <v>2</v>
      </c>
      <c r="H15" s="8">
        <v>2296581</v>
      </c>
      <c r="I15" s="6" t="s">
        <v>39</v>
      </c>
      <c r="J15" s="11" t="s">
        <v>81</v>
      </c>
    </row>
    <row r="16" spans="1:10" ht="12.5" x14ac:dyDescent="0.25">
      <c r="A16" s="6">
        <v>14</v>
      </c>
      <c r="B16" s="6" t="s">
        <v>112</v>
      </c>
      <c r="C16" s="6" t="s">
        <v>113</v>
      </c>
      <c r="D16" s="6" t="s">
        <v>111</v>
      </c>
      <c r="E16" s="6" t="s">
        <v>114</v>
      </c>
      <c r="F16" s="6">
        <v>4</v>
      </c>
      <c r="G16" s="6">
        <v>3</v>
      </c>
      <c r="H16" s="8">
        <v>3444385</v>
      </c>
      <c r="I16" s="6" t="s">
        <v>39</v>
      </c>
      <c r="J16" s="6" t="s">
        <v>77</v>
      </c>
    </row>
    <row r="17" spans="1:10" ht="12.5" x14ac:dyDescent="0.25">
      <c r="A17" s="6">
        <v>15</v>
      </c>
      <c r="B17" s="6" t="s">
        <v>115</v>
      </c>
      <c r="C17" s="6" t="s">
        <v>116</v>
      </c>
      <c r="D17" s="7">
        <v>45905</v>
      </c>
      <c r="E17" s="7">
        <v>45909</v>
      </c>
      <c r="F17" s="6">
        <v>2</v>
      </c>
      <c r="G17" s="6">
        <v>4</v>
      </c>
      <c r="H17" s="8">
        <v>5353453</v>
      </c>
      <c r="I17" s="6" t="s">
        <v>39</v>
      </c>
      <c r="J17" s="6" t="s">
        <v>77</v>
      </c>
    </row>
    <row r="18" spans="1:10" ht="12.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12.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12.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12.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</row>
  </sheetData>
  <mergeCells count="13">
    <mergeCell ref="B13:B15"/>
    <mergeCell ref="A1:A2"/>
    <mergeCell ref="B1:B2"/>
    <mergeCell ref="C1:C2"/>
    <mergeCell ref="D1:E1"/>
    <mergeCell ref="I1:I2"/>
    <mergeCell ref="J1:J2"/>
    <mergeCell ref="B3:B5"/>
    <mergeCell ref="B7:B8"/>
    <mergeCell ref="B9:B11"/>
    <mergeCell ref="F1:F2"/>
    <mergeCell ref="G1:G2"/>
    <mergeCell ref="H1:H2"/>
  </mergeCells>
  <hyperlinks>
    <hyperlink ref="J4" r:id="rId1" xr:uid="{00000000-0004-0000-0100-000000000000}"/>
    <hyperlink ref="J8" r:id="rId2" xr:uid="{00000000-0004-0000-0100-000001000000}"/>
    <hyperlink ref="J15" r:id="rId3" xr:uid="{00000000-0004-0000-01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Carrallo</dc:creator>
  <cp:lastModifiedBy>JOSE CARRALLO DE LA FUENTE</cp:lastModifiedBy>
  <dcterms:created xsi:type="dcterms:W3CDTF">2026-02-01T04:59:10Z</dcterms:created>
  <dcterms:modified xsi:type="dcterms:W3CDTF">2026-02-01T04:59:10Z</dcterms:modified>
</cp:coreProperties>
</file>